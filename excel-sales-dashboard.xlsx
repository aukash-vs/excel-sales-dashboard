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 activeTab="1"/>
  </bookViews>
  <sheets>
    <sheet name="FT1" sheetId="1" r:id="rId1"/>
    <sheet name="FT2" sheetId="2" r:id="rId2"/>
    <sheet name="Sheet1" sheetId="4" r:id="rId3"/>
    <sheet name="FT3" sheetId="3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<sst xmlns="http://schemas.openxmlformats.org/spreadsheetml/2006/main" count="136" uniqueCount="95">
  <si>
    <t>S.No</t>
  </si>
  <si>
    <t>Student Name</t>
  </si>
  <si>
    <t>Roll Number</t>
  </si>
  <si>
    <t>Tamil</t>
  </si>
  <si>
    <t>English</t>
  </si>
  <si>
    <t>Mathematics</t>
  </si>
  <si>
    <t>Science</t>
  </si>
  <si>
    <t>Social Science</t>
  </si>
  <si>
    <t>Cut Off ( Should be based on Maths and Social)</t>
  </si>
  <si>
    <t>Cut Off ( Based on Language)</t>
  </si>
  <si>
    <t>Overall Cut Off</t>
  </si>
  <si>
    <t>Total Marks</t>
  </si>
  <si>
    <t>Result
(Pass or Fail)</t>
  </si>
  <si>
    <t>Grade</t>
  </si>
  <si>
    <t>Jhon</t>
  </si>
  <si>
    <t>Priya</t>
  </si>
  <si>
    <t>Naveen</t>
  </si>
  <si>
    <t>Rajesh</t>
  </si>
  <si>
    <t>Sabari</t>
  </si>
  <si>
    <t>Atul</t>
  </si>
  <si>
    <t>Sarath</t>
  </si>
  <si>
    <t>Gowtham</t>
  </si>
  <si>
    <t>Nikilesh</t>
  </si>
  <si>
    <t>Venkat</t>
  </si>
  <si>
    <t>Pass Count</t>
  </si>
  <si>
    <t>Fail Count</t>
  </si>
  <si>
    <t>Name</t>
  </si>
  <si>
    <t>Purchase Date</t>
  </si>
  <si>
    <t>Brand</t>
  </si>
  <si>
    <t>Product</t>
  </si>
  <si>
    <t>Price</t>
  </si>
  <si>
    <t>Warranty</t>
  </si>
  <si>
    <t>Warranty Completion date</t>
  </si>
  <si>
    <t>In which week  the item was received</t>
  </si>
  <si>
    <t>In which week the warranty of the product expires</t>
  </si>
  <si>
    <t>On which day did he buy the item</t>
  </si>
  <si>
    <t>Ashok</t>
  </si>
  <si>
    <t>Premier</t>
  </si>
  <si>
    <t>Mixer</t>
  </si>
  <si>
    <t>6 months</t>
  </si>
  <si>
    <t>Amit</t>
  </si>
  <si>
    <t>Butterfly</t>
  </si>
  <si>
    <t>Grinder</t>
  </si>
  <si>
    <t>Rokit</t>
  </si>
  <si>
    <t>Whilpool</t>
  </si>
  <si>
    <t>Fridge</t>
  </si>
  <si>
    <t>1 year</t>
  </si>
  <si>
    <t>Deva</t>
  </si>
  <si>
    <t>Blue Star</t>
  </si>
  <si>
    <t>AC</t>
  </si>
  <si>
    <t>2 year</t>
  </si>
  <si>
    <t>LG</t>
  </si>
  <si>
    <t>Rohit</t>
  </si>
  <si>
    <t>Whirlpool</t>
  </si>
  <si>
    <t>Washing Machine</t>
  </si>
  <si>
    <t>1.3 year</t>
  </si>
  <si>
    <t>Hema</t>
  </si>
  <si>
    <t>Godrej</t>
  </si>
  <si>
    <t>Lawanya</t>
  </si>
  <si>
    <t>TV</t>
  </si>
  <si>
    <t>8 months</t>
  </si>
  <si>
    <t>Radha</t>
  </si>
  <si>
    <t>Logesh</t>
  </si>
  <si>
    <t>Stove</t>
  </si>
  <si>
    <t>3 months</t>
  </si>
  <si>
    <t>Hemanth</t>
  </si>
  <si>
    <t>Hari</t>
  </si>
  <si>
    <t>Product should be use list</t>
  </si>
  <si>
    <t>1.How many fridges have been sold ? 
2.What was the total Amount of Fridge?</t>
  </si>
  <si>
    <t>How to check price based on product</t>
  </si>
  <si>
    <t>1.How many fridge sold in LG company? 
2.What is its total amount?</t>
  </si>
  <si>
    <t>How to check Product based on Name</t>
  </si>
  <si>
    <t>1.Which of the following Fridge is the Highest in Godrej Company? 
2.Which is Smallest Amount in Godrej Company?</t>
  </si>
  <si>
    <t>Sum of Price</t>
  </si>
  <si>
    <t>Bed</t>
  </si>
  <si>
    <t>Mobile phone</t>
  </si>
  <si>
    <t>Washing machine</t>
  </si>
  <si>
    <t>(blank)</t>
  </si>
  <si>
    <t>Grand Total</t>
  </si>
  <si>
    <t>Date</t>
  </si>
  <si>
    <t>Create a maximum of 15 data points and organize them in a table format suitable for a pivot chart</t>
  </si>
  <si>
    <t>Aravind</t>
  </si>
  <si>
    <t>Amal</t>
  </si>
  <si>
    <t>Chris</t>
  </si>
  <si>
    <t>Apple Dog</t>
  </si>
  <si>
    <t>Sathish</t>
  </si>
  <si>
    <t>Sri beast</t>
  </si>
  <si>
    <t>Tv</t>
  </si>
  <si>
    <t>Iyyapan</t>
  </si>
  <si>
    <t>Forever Virat</t>
  </si>
  <si>
    <t>Honey the boss</t>
  </si>
  <si>
    <t>Machismo</t>
  </si>
  <si>
    <t>Pogo</t>
  </si>
  <si>
    <t>Moorthy</t>
  </si>
  <si>
    <t>Killer Aukash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</si>
</sst>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4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 wrapText="1"/>
    </xf>
    <xf numFmtId="180" fontId="0" fillId="2" borderId="1" xfId="0" applyNumberFormat="1" applyFill="1" applyBorder="1">
      <alignment vertical="center"/>
    </xf>
    <xf numFmtId="0" fontId="0" fillId="2" borderId="1" xfId="0" applyFill="1" applyBorder="1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180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NumberFormat="1" applyFill="1" applyBorder="1">
      <alignment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>
      <alignment vertical="center"/>
    </xf>
    <xf numFmtId="0" fontId="4" fillId="0" borderId="1" xfId="0" applyFont="1" applyBorder="1">
      <alignment vertical="center"/>
    </xf>
    <xf numFmtId="0" fontId="0" fillId="3" borderId="0" xfId="0" applyFill="1">
      <alignment vertical="center"/>
    </xf>
    <xf numFmtId="0" fontId="4" fillId="3" borderId="1" xfId="0" applyFont="1" applyFill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Final Test Aukash V S.xlsx]Sheet1!PivotTable1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Sheet1!$A$4:$A$10</c:f>
              <c:strCache>
                <c:ptCount val="6"/>
                <c:pt idx="0">
                  <c:v>Bed</c:v>
                </c:pt>
                <c:pt idx="1">
                  <c:v>Fridge</c:v>
                </c:pt>
                <c:pt idx="2">
                  <c:v>Mobile phone</c:v>
                </c:pt>
                <c:pt idx="3">
                  <c:v>TV</c:v>
                </c:pt>
                <c:pt idx="4">
                  <c:v>Washing machine</c:v>
                </c:pt>
                <c:pt idx="5">
                  <c:v>(blank)</c:v>
                </c:pt>
              </c:strCache>
            </c:strRef>
          </c:cat>
          <c:val>
            <c:numRef>
              <c:f>Sheet1!$B$4:$B$10</c:f>
              <c:numCache>
                <c:formatCode>General</c:formatCode>
                <c:ptCount val="6"/>
                <c:pt idx="0">
                  <c:v>161000</c:v>
                </c:pt>
                <c:pt idx="1">
                  <c:v>124000</c:v>
                </c:pt>
                <c:pt idx="2">
                  <c:v>140000</c:v>
                </c:pt>
                <c:pt idx="3">
                  <c:v>95000</c:v>
                </c:pt>
                <c:pt idx="4">
                  <c:v>118100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614803479"/>
        <c:axId val="921279066"/>
      </c:barChart>
      <c:catAx>
        <c:axId val="6148034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1279066"/>
        <c:crosses val="autoZero"/>
        <c:auto val="1"/>
        <c:lblAlgn val="ctr"/>
        <c:lblOffset val="100"/>
        <c:noMultiLvlLbl val="0"/>
      </c:catAx>
      <c:valAx>
        <c:axId val="92127906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4803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5a789c7-f464-4308-a6c1-142d486182f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345440</xdr:colOff>
      <xdr:row>8</xdr:row>
      <xdr:rowOff>10160</xdr:rowOff>
    </xdr:from>
    <xdr:to>
      <xdr:col>14</xdr:col>
      <xdr:colOff>294640</xdr:colOff>
      <xdr:row>23</xdr:row>
      <xdr:rowOff>10160</xdr:rowOff>
    </xdr:to>
    <xdr:graphicFrame>
      <xdr:nvGraphicFramePr>
        <xdr:cNvPr id="2" name="Chart 1"/>
        <xdr:cNvGraphicFramePr/>
      </xdr:nvGraphicFramePr>
      <xdr:xfrm>
        <a:off x="4787900" y="14732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02.5013773148" refreshedBy="Asus" recordCount="16">
  <cacheSource type="worksheet">
    <worksheetSource ref="C1:D1048576" sheet="FT3"/>
  </cacheSource>
  <cacheFields count="2">
    <cacheField name="Product" numFmtId="0">
      <sharedItems containsBlank="1" count="6">
        <s v="TV"/>
        <s v="Mobile phone"/>
        <s v="Fridge"/>
        <s v="Washing machine"/>
        <s v="Bed"/>
        <m/>
      </sharedItems>
    </cacheField>
    <cacheField name="Price" numFmtId="0">
      <sharedItems containsString="0" containsBlank="1" containsNumber="1" containsInteger="1" minValue="0" maxValue="100000" count="16">
        <n v="20000"/>
        <n v="25000"/>
        <n v="27000"/>
        <n v="30000"/>
        <n v="35000"/>
        <n v="17000"/>
        <n v="32000"/>
        <n v="15000"/>
        <n v="67000"/>
        <n v="49000"/>
        <n v="21100"/>
        <n v="43000"/>
        <n v="80000"/>
        <n v="77000"/>
        <n v="100000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</r>
  <r>
    <x v="1"/>
    <x v="1"/>
  </r>
  <r>
    <x v="2"/>
    <x v="2"/>
  </r>
  <r>
    <x v="3"/>
    <x v="3"/>
  </r>
  <r>
    <x v="4"/>
    <x v="4"/>
  </r>
  <r>
    <x v="2"/>
    <x v="5"/>
  </r>
  <r>
    <x v="0"/>
    <x v="6"/>
  </r>
  <r>
    <x v="1"/>
    <x v="7"/>
  </r>
  <r>
    <x v="3"/>
    <x v="8"/>
  </r>
  <r>
    <x v="4"/>
    <x v="9"/>
  </r>
  <r>
    <x v="3"/>
    <x v="10"/>
  </r>
  <r>
    <x v="0"/>
    <x v="11"/>
  </r>
  <r>
    <x v="2"/>
    <x v="12"/>
  </r>
  <r>
    <x v="4"/>
    <x v="13"/>
  </r>
  <r>
    <x v="1"/>
    <x v="14"/>
  </r>
  <r>
    <x v="5"/>
    <x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10" firstHeaderRow="1" firstDataRow="1" firstDataCol="1"/>
  <pivotFields count="2">
    <pivotField axis="axisRow" compact="0" showAll="0">
      <items count="7">
        <item x="4"/>
        <item x="2"/>
        <item x="1"/>
        <item x="0"/>
        <item x="3"/>
        <item x="5"/>
        <item t="default"/>
      </items>
    </pivotField>
    <pivotField dataField="1" compact="0" showAll="0">
      <items count="17">
        <item x="7"/>
        <item x="5"/>
        <item x="0"/>
        <item x="10"/>
        <item x="1"/>
        <item x="2"/>
        <item x="3"/>
        <item x="6"/>
        <item x="4"/>
        <item x="11"/>
        <item x="9"/>
        <item x="8"/>
        <item x="13"/>
        <item x="12"/>
        <item x="14"/>
        <item x="15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rice" fld="1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zoomScale="73" zoomScaleNormal="73" workbookViewId="0">
      <selection activeCell="M18" sqref="M18"/>
    </sheetView>
  </sheetViews>
  <sheetFormatPr defaultColWidth="8.88888888888889" defaultRowHeight="14.4"/>
  <cols>
    <col min="2" max="2" width="17.7777777777778" customWidth="1"/>
    <col min="3" max="3" width="15.6666666666667" customWidth="1"/>
    <col min="6" max="6" width="16.4444444444444" customWidth="1"/>
    <col min="8" max="8" width="17.4444444444444" customWidth="1"/>
    <col min="9" max="10" width="23.6666666666667" customWidth="1"/>
    <col min="11" max="12" width="16.5555555555556" customWidth="1"/>
    <col min="13" max="13" width="21.4444444444444" customWidth="1"/>
    <col min="14" max="14" width="11" customWidth="1"/>
  </cols>
  <sheetData>
    <row r="1" s="17" customFormat="1" ht="57" customHeight="1" spans="1:14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8" t="s">
        <v>13</v>
      </c>
    </row>
    <row r="2" spans="1:14">
      <c r="A2" s="9">
        <v>1</v>
      </c>
      <c r="B2" s="9" t="s">
        <v>14</v>
      </c>
      <c r="C2" s="9">
        <v>1001</v>
      </c>
      <c r="D2" s="9">
        <v>67</v>
      </c>
      <c r="E2" s="9">
        <v>78</v>
      </c>
      <c r="F2" s="9">
        <v>89</v>
      </c>
      <c r="G2" s="9">
        <v>45</v>
      </c>
      <c r="H2" s="9">
        <v>70</v>
      </c>
      <c r="I2" s="5">
        <f>AVERAGE(F2,H2)</f>
        <v>79.5</v>
      </c>
      <c r="J2" s="5">
        <f>AVERAGE(D2,E2)</f>
        <v>72.5</v>
      </c>
      <c r="K2" s="5">
        <f>AVERAGE(D2:H2)</f>
        <v>69.8</v>
      </c>
      <c r="L2" s="5">
        <f>SUM(D2,E2,F2,G2,H2)</f>
        <v>349</v>
      </c>
      <c r="M2" s="5" t="str">
        <f>IF(AND(D2&gt;=35,E2&gt;=35,F2&gt;=35,G2&gt;=35,H2&gt;=35),"Pass","Fail")</f>
        <v>Pass</v>
      </c>
      <c r="N2" s="5" t="str">
        <f>IF(L2&gt;=400,"A",IF(L2&gt;=350,"B",IF(L2&gt;=300,"C",IF(L2&gt;=250,"D",IF(L2&gt;=200,"E")))))</f>
        <v>C</v>
      </c>
    </row>
    <row r="3" spans="1:14">
      <c r="A3" s="9">
        <v>2</v>
      </c>
      <c r="B3" s="9" t="s">
        <v>15</v>
      </c>
      <c r="C3" s="9">
        <v>1002</v>
      </c>
      <c r="D3" s="9">
        <v>78</v>
      </c>
      <c r="E3" s="9">
        <v>90</v>
      </c>
      <c r="F3" s="9">
        <v>65</v>
      </c>
      <c r="G3" s="9">
        <v>72</v>
      </c>
      <c r="H3" s="9">
        <v>23</v>
      </c>
      <c r="I3" s="5">
        <f t="shared" ref="I3:I11" si="0">AVERAGE(F3,H3)</f>
        <v>44</v>
      </c>
      <c r="J3" s="5">
        <f t="shared" ref="J3:J11" si="1">AVERAGE(D3,E3)</f>
        <v>84</v>
      </c>
      <c r="K3" s="5">
        <f t="shared" ref="K3:K11" si="2">AVERAGE(D3:H3)</f>
        <v>65.6</v>
      </c>
      <c r="L3" s="5">
        <f t="shared" ref="L3:L11" si="3">SUM(D3,E3,F3,G3,H3)</f>
        <v>328</v>
      </c>
      <c r="M3" s="5" t="str">
        <f t="shared" ref="M3:M11" si="4">IF(AND(D3&gt;=35,E3&gt;=35,F3&gt;=35,G3&gt;=35,H3&gt;=35),"Pass","Fail")</f>
        <v>Fail</v>
      </c>
      <c r="N3" s="5" t="str">
        <f t="shared" ref="N3:N11" si="5">IF(L3&gt;=400,"A",IF(L3&gt;=350,"B",IF(L3&gt;=300,"C",IF(L3&gt;=250,"D",IF(L3&gt;=200,"E")))))</f>
        <v>C</v>
      </c>
    </row>
    <row r="4" spans="1:14">
      <c r="A4" s="9">
        <v>3</v>
      </c>
      <c r="B4" s="9" t="s">
        <v>16</v>
      </c>
      <c r="C4" s="9">
        <v>1003</v>
      </c>
      <c r="D4" s="9">
        <v>59</v>
      </c>
      <c r="E4" s="9">
        <v>50</v>
      </c>
      <c r="F4" s="9">
        <v>67</v>
      </c>
      <c r="G4" s="9">
        <v>68</v>
      </c>
      <c r="H4" s="9">
        <v>40</v>
      </c>
      <c r="I4" s="5">
        <f t="shared" si="0"/>
        <v>53.5</v>
      </c>
      <c r="J4" s="5">
        <f t="shared" si="1"/>
        <v>54.5</v>
      </c>
      <c r="K4" s="5">
        <f t="shared" si="2"/>
        <v>56.8</v>
      </c>
      <c r="L4" s="5">
        <f t="shared" si="3"/>
        <v>284</v>
      </c>
      <c r="M4" s="5" t="str">
        <f t="shared" si="4"/>
        <v>Pass</v>
      </c>
      <c r="N4" s="5" t="str">
        <f t="shared" si="5"/>
        <v>D</v>
      </c>
    </row>
    <row r="5" spans="1:14">
      <c r="A5" s="9">
        <v>4</v>
      </c>
      <c r="B5" s="9" t="s">
        <v>17</v>
      </c>
      <c r="C5" s="9">
        <v>1004</v>
      </c>
      <c r="D5" s="9">
        <v>89</v>
      </c>
      <c r="E5" s="9">
        <v>59</v>
      </c>
      <c r="F5" s="9">
        <v>70</v>
      </c>
      <c r="G5" s="9">
        <v>54</v>
      </c>
      <c r="H5" s="9">
        <v>63</v>
      </c>
      <c r="I5" s="5">
        <f t="shared" si="0"/>
        <v>66.5</v>
      </c>
      <c r="J5" s="5">
        <f t="shared" si="1"/>
        <v>74</v>
      </c>
      <c r="K5" s="5">
        <f t="shared" si="2"/>
        <v>67</v>
      </c>
      <c r="L5" s="5">
        <f t="shared" si="3"/>
        <v>335</v>
      </c>
      <c r="M5" s="5" t="str">
        <f t="shared" si="4"/>
        <v>Pass</v>
      </c>
      <c r="N5" s="5" t="str">
        <f t="shared" si="5"/>
        <v>C</v>
      </c>
    </row>
    <row r="6" spans="1:14">
      <c r="A6" s="9">
        <v>5</v>
      </c>
      <c r="B6" s="9" t="s">
        <v>18</v>
      </c>
      <c r="C6" s="9">
        <v>1005</v>
      </c>
      <c r="D6" s="9">
        <v>100</v>
      </c>
      <c r="E6" s="9">
        <v>80</v>
      </c>
      <c r="F6" s="9">
        <v>60</v>
      </c>
      <c r="G6" s="9">
        <v>50</v>
      </c>
      <c r="H6" s="9">
        <v>71</v>
      </c>
      <c r="I6" s="5">
        <f t="shared" si="0"/>
        <v>65.5</v>
      </c>
      <c r="J6" s="5">
        <f t="shared" si="1"/>
        <v>90</v>
      </c>
      <c r="K6" s="5">
        <f t="shared" si="2"/>
        <v>72.2</v>
      </c>
      <c r="L6" s="5">
        <f t="shared" si="3"/>
        <v>361</v>
      </c>
      <c r="M6" s="5" t="str">
        <f t="shared" si="4"/>
        <v>Pass</v>
      </c>
      <c r="N6" s="5" t="str">
        <f t="shared" si="5"/>
        <v>B</v>
      </c>
    </row>
    <row r="7" spans="1:14">
      <c r="A7" s="9">
        <v>6</v>
      </c>
      <c r="B7" s="9" t="s">
        <v>19</v>
      </c>
      <c r="C7" s="9">
        <v>1006</v>
      </c>
      <c r="D7" s="9">
        <v>98</v>
      </c>
      <c r="E7" s="9">
        <v>61</v>
      </c>
      <c r="F7" s="9">
        <v>80</v>
      </c>
      <c r="G7" s="9">
        <v>90</v>
      </c>
      <c r="H7" s="9">
        <v>95</v>
      </c>
      <c r="I7" s="5">
        <f t="shared" si="0"/>
        <v>87.5</v>
      </c>
      <c r="J7" s="5">
        <f t="shared" si="1"/>
        <v>79.5</v>
      </c>
      <c r="K7" s="5">
        <f t="shared" si="2"/>
        <v>84.8</v>
      </c>
      <c r="L7" s="5">
        <f t="shared" si="3"/>
        <v>424</v>
      </c>
      <c r="M7" s="5" t="str">
        <f t="shared" si="4"/>
        <v>Pass</v>
      </c>
      <c r="N7" s="5" t="str">
        <f t="shared" si="5"/>
        <v>A</v>
      </c>
    </row>
    <row r="8" spans="1:14">
      <c r="A8" s="9">
        <v>7</v>
      </c>
      <c r="B8" s="9" t="s">
        <v>20</v>
      </c>
      <c r="C8" s="9">
        <v>1007</v>
      </c>
      <c r="D8" s="9">
        <v>87</v>
      </c>
      <c r="E8" s="9">
        <v>65</v>
      </c>
      <c r="F8" s="9">
        <v>45</v>
      </c>
      <c r="G8" s="9">
        <v>20</v>
      </c>
      <c r="H8" s="9">
        <v>61</v>
      </c>
      <c r="I8" s="5">
        <f t="shared" si="0"/>
        <v>53</v>
      </c>
      <c r="J8" s="5">
        <f t="shared" si="1"/>
        <v>76</v>
      </c>
      <c r="K8" s="5">
        <f t="shared" si="2"/>
        <v>55.6</v>
      </c>
      <c r="L8" s="5">
        <f t="shared" si="3"/>
        <v>278</v>
      </c>
      <c r="M8" s="5" t="str">
        <f t="shared" si="4"/>
        <v>Fail</v>
      </c>
      <c r="N8" s="5" t="str">
        <f t="shared" si="5"/>
        <v>D</v>
      </c>
    </row>
    <row r="9" spans="1:14">
      <c r="A9" s="9">
        <v>8</v>
      </c>
      <c r="B9" s="9" t="s">
        <v>21</v>
      </c>
      <c r="C9" s="9">
        <v>1008</v>
      </c>
      <c r="D9" s="9">
        <v>89</v>
      </c>
      <c r="E9" s="9">
        <v>56</v>
      </c>
      <c r="F9" s="9">
        <v>54</v>
      </c>
      <c r="G9" s="9">
        <v>56</v>
      </c>
      <c r="H9" s="9">
        <v>67</v>
      </c>
      <c r="I9" s="5">
        <f t="shared" si="0"/>
        <v>60.5</v>
      </c>
      <c r="J9" s="5">
        <f t="shared" si="1"/>
        <v>72.5</v>
      </c>
      <c r="K9" s="5">
        <f t="shared" si="2"/>
        <v>64.4</v>
      </c>
      <c r="L9" s="5">
        <f t="shared" si="3"/>
        <v>322</v>
      </c>
      <c r="M9" s="5" t="str">
        <f t="shared" si="4"/>
        <v>Pass</v>
      </c>
      <c r="N9" s="5" t="str">
        <f t="shared" si="5"/>
        <v>C</v>
      </c>
    </row>
    <row r="10" spans="1:14">
      <c r="A10" s="9">
        <v>9</v>
      </c>
      <c r="B10" s="9" t="s">
        <v>22</v>
      </c>
      <c r="C10" s="9">
        <v>1009</v>
      </c>
      <c r="D10" s="9">
        <v>78</v>
      </c>
      <c r="E10" s="9">
        <v>67</v>
      </c>
      <c r="F10" s="9">
        <v>75</v>
      </c>
      <c r="G10" s="9">
        <v>35</v>
      </c>
      <c r="H10" s="9">
        <v>64</v>
      </c>
      <c r="I10" s="5">
        <f t="shared" si="0"/>
        <v>69.5</v>
      </c>
      <c r="J10" s="5">
        <f t="shared" si="1"/>
        <v>72.5</v>
      </c>
      <c r="K10" s="5">
        <f t="shared" si="2"/>
        <v>63.8</v>
      </c>
      <c r="L10" s="5">
        <f t="shared" si="3"/>
        <v>319</v>
      </c>
      <c r="M10" s="5" t="str">
        <f t="shared" si="4"/>
        <v>Pass</v>
      </c>
      <c r="N10" s="5" t="str">
        <f t="shared" si="5"/>
        <v>C</v>
      </c>
    </row>
    <row r="11" spans="1:14">
      <c r="A11" s="9">
        <v>10</v>
      </c>
      <c r="B11" s="9" t="s">
        <v>23</v>
      </c>
      <c r="C11" s="9">
        <v>1010</v>
      </c>
      <c r="D11" s="9">
        <v>35</v>
      </c>
      <c r="E11" s="9">
        <v>89</v>
      </c>
      <c r="F11" s="9">
        <v>68</v>
      </c>
      <c r="G11" s="9">
        <v>45</v>
      </c>
      <c r="H11" s="9">
        <v>30</v>
      </c>
      <c r="I11" s="5">
        <f t="shared" si="0"/>
        <v>49</v>
      </c>
      <c r="J11" s="5">
        <f t="shared" si="1"/>
        <v>62</v>
      </c>
      <c r="K11" s="5">
        <f t="shared" si="2"/>
        <v>53.4</v>
      </c>
      <c r="L11" s="5">
        <f t="shared" si="3"/>
        <v>267</v>
      </c>
      <c r="M11" s="5" t="str">
        <f t="shared" si="4"/>
        <v>Fail</v>
      </c>
      <c r="N11" s="5" t="str">
        <f t="shared" si="5"/>
        <v>D</v>
      </c>
    </row>
    <row r="12" ht="15.6" spans="13:13">
      <c r="M12" s="20"/>
    </row>
    <row r="13" ht="15.6" spans="9:13">
      <c r="I13" s="20"/>
      <c r="J13" s="20"/>
      <c r="K13" s="20"/>
      <c r="L13" s="20"/>
      <c r="M13" s="21" t="s">
        <v>24</v>
      </c>
    </row>
    <row r="14" ht="15.6" spans="9:13">
      <c r="I14" s="20"/>
      <c r="J14" s="20"/>
      <c r="K14" s="20"/>
      <c r="L14" s="20"/>
      <c r="M14" s="5">
        <f>COUNTIF(M2:M11,"Pass")</f>
        <v>7</v>
      </c>
    </row>
    <row r="15" spans="13:13">
      <c r="M15" s="22"/>
    </row>
    <row r="16" spans="13:13">
      <c r="M16" s="23" t="s">
        <v>25</v>
      </c>
    </row>
    <row r="17" spans="13:13">
      <c r="M17" s="5">
        <f>COUNTIF(M2:M11,"Fail")</f>
        <v>3</v>
      </c>
    </row>
  </sheetData>
  <sheetProtection selectLockedCells="1" selectUnlockedCells="1" formatCells="0"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9"/>
  <sheetViews>
    <sheetView tabSelected="1" zoomScale="74" zoomScaleNormal="74" workbookViewId="0">
      <selection activeCell="B23" sqref="B23"/>
    </sheetView>
  </sheetViews>
  <sheetFormatPr defaultColWidth="8.88888888888889" defaultRowHeight="14.4"/>
  <cols>
    <col min="1" max="1" width="63.8888888888889" customWidth="1"/>
    <col min="2" max="2" width="17.7777777777778" customWidth="1"/>
    <col min="3" max="3" width="9.66666666666667" customWidth="1"/>
    <col min="4" max="4" width="16.7777777777778" customWidth="1"/>
    <col min="5" max="5" width="7" customWidth="1"/>
    <col min="6" max="6" width="11.8888888888889" customWidth="1"/>
    <col min="7" max="7" width="18.4444444444444" customWidth="1"/>
    <col min="8" max="8" width="16" customWidth="1"/>
    <col min="9" max="9" width="20.1111111111111" customWidth="1"/>
    <col min="10" max="10" width="14.6666666666667" customWidth="1"/>
  </cols>
  <sheetData>
    <row r="1" s="6" customFormat="1" ht="54" customHeight="1" spans="1:10">
      <c r="A1" s="7" t="s">
        <v>26</v>
      </c>
      <c r="B1" s="7" t="s">
        <v>27</v>
      </c>
      <c r="C1" s="7" t="s">
        <v>28</v>
      </c>
      <c r="D1" s="7" t="s">
        <v>29</v>
      </c>
      <c r="E1" s="7" t="s">
        <v>30</v>
      </c>
      <c r="F1" s="7" t="s">
        <v>31</v>
      </c>
      <c r="G1" s="8" t="s">
        <v>32</v>
      </c>
      <c r="H1" s="8" t="s">
        <v>33</v>
      </c>
      <c r="I1" s="8" t="s">
        <v>34</v>
      </c>
      <c r="J1" s="8" t="s">
        <v>35</v>
      </c>
    </row>
    <row r="2" spans="1:10">
      <c r="A2" s="9" t="s">
        <v>36</v>
      </c>
      <c r="B2" s="10">
        <v>43234</v>
      </c>
      <c r="C2" s="9" t="s">
        <v>37</v>
      </c>
      <c r="D2" s="9" t="s">
        <v>38</v>
      </c>
      <c r="E2" s="9">
        <v>5000</v>
      </c>
      <c r="F2" s="9" t="s">
        <v>39</v>
      </c>
      <c r="G2" s="4">
        <f>EOMONTH(B2,6)</f>
        <v>43434</v>
      </c>
      <c r="H2" s="5">
        <f>WEEKNUM(B2)</f>
        <v>20</v>
      </c>
      <c r="I2" s="5">
        <f>WEEKNUM(G2)</f>
        <v>48</v>
      </c>
      <c r="J2" s="15" t="str">
        <f>TEXT(B2,"dddd")</f>
        <v>Monday</v>
      </c>
    </row>
    <row r="3" spans="1:10">
      <c r="A3" s="9" t="s">
        <v>40</v>
      </c>
      <c r="B3" s="10">
        <v>40653</v>
      </c>
      <c r="C3" s="9" t="s">
        <v>41</v>
      </c>
      <c r="D3" s="9" t="s">
        <v>42</v>
      </c>
      <c r="E3" s="9">
        <v>10000</v>
      </c>
      <c r="F3" s="9" t="s">
        <v>39</v>
      </c>
      <c r="G3" s="4">
        <f>EOMONTH(B3,6)</f>
        <v>40847</v>
      </c>
      <c r="H3" s="5">
        <f t="shared" ref="H3:H13" si="0">WEEKNUM(B3)</f>
        <v>17</v>
      </c>
      <c r="I3" s="5">
        <f t="shared" ref="I3:I13" si="1">WEEKNUM(G3)</f>
        <v>45</v>
      </c>
      <c r="J3" s="15" t="str">
        <f t="shared" ref="J3:J13" si="2">TEXT(B3,"dddd")</f>
        <v>Wednesday</v>
      </c>
    </row>
    <row r="4" spans="1:10">
      <c r="A4" s="9" t="s">
        <v>43</v>
      </c>
      <c r="B4" s="10">
        <v>36555</v>
      </c>
      <c r="C4" s="9" t="s">
        <v>44</v>
      </c>
      <c r="D4" s="9" t="s">
        <v>45</v>
      </c>
      <c r="E4" s="9">
        <v>19000</v>
      </c>
      <c r="F4" s="9" t="s">
        <v>46</v>
      </c>
      <c r="G4" s="4">
        <f>EOMONTH(B4,12)</f>
        <v>36922</v>
      </c>
      <c r="H4" s="5">
        <f t="shared" si="0"/>
        <v>6</v>
      </c>
      <c r="I4" s="5">
        <f t="shared" si="1"/>
        <v>5</v>
      </c>
      <c r="J4" s="15" t="str">
        <f t="shared" si="2"/>
        <v>Sunday</v>
      </c>
    </row>
    <row r="5" spans="1:10">
      <c r="A5" s="9" t="s">
        <v>47</v>
      </c>
      <c r="B5" s="10">
        <v>44454</v>
      </c>
      <c r="C5" s="9" t="s">
        <v>48</v>
      </c>
      <c r="D5" s="9" t="s">
        <v>49</v>
      </c>
      <c r="E5" s="9">
        <v>50000</v>
      </c>
      <c r="F5" s="9" t="s">
        <v>50</v>
      </c>
      <c r="G5" s="4">
        <f>EOMONTH(B5,24)</f>
        <v>45199</v>
      </c>
      <c r="H5" s="5">
        <f t="shared" si="0"/>
        <v>38</v>
      </c>
      <c r="I5" s="5">
        <f t="shared" si="1"/>
        <v>39</v>
      </c>
      <c r="J5" s="15" t="str">
        <f t="shared" si="2"/>
        <v>Wednesday</v>
      </c>
    </row>
    <row r="6" spans="1:10">
      <c r="A6" s="9" t="s">
        <v>15</v>
      </c>
      <c r="B6" s="10">
        <v>42504</v>
      </c>
      <c r="C6" s="9" t="s">
        <v>51</v>
      </c>
      <c r="D6" s="9" t="s">
        <v>45</v>
      </c>
      <c r="E6" s="9">
        <v>17000</v>
      </c>
      <c r="F6" s="9" t="s">
        <v>39</v>
      </c>
      <c r="G6" s="4">
        <f>EOMONTH(B6,6)</f>
        <v>42704</v>
      </c>
      <c r="H6" s="5">
        <f t="shared" si="0"/>
        <v>20</v>
      </c>
      <c r="I6" s="5">
        <f t="shared" si="1"/>
        <v>49</v>
      </c>
      <c r="J6" s="15" t="str">
        <f t="shared" si="2"/>
        <v>Saturday</v>
      </c>
    </row>
    <row r="7" spans="1:10">
      <c r="A7" s="9" t="s">
        <v>52</v>
      </c>
      <c r="B7" s="10">
        <v>38001</v>
      </c>
      <c r="C7" s="9" t="s">
        <v>53</v>
      </c>
      <c r="D7" s="9" t="s">
        <v>54</v>
      </c>
      <c r="E7" s="9">
        <v>35000</v>
      </c>
      <c r="F7" s="9" t="s">
        <v>55</v>
      </c>
      <c r="G7" s="4">
        <f>EOMONTH(B7,15)</f>
        <v>38472</v>
      </c>
      <c r="H7" s="5">
        <f t="shared" si="0"/>
        <v>3</v>
      </c>
      <c r="I7" s="5">
        <f t="shared" si="1"/>
        <v>18</v>
      </c>
      <c r="J7" s="15" t="str">
        <f t="shared" si="2"/>
        <v>Thursday</v>
      </c>
    </row>
    <row r="8" spans="1:10">
      <c r="A8" s="9" t="s">
        <v>56</v>
      </c>
      <c r="B8" s="10">
        <v>34514</v>
      </c>
      <c r="C8" s="9" t="s">
        <v>57</v>
      </c>
      <c r="D8" s="9" t="s">
        <v>54</v>
      </c>
      <c r="E8" s="9">
        <v>30000</v>
      </c>
      <c r="F8" s="9" t="s">
        <v>50</v>
      </c>
      <c r="G8" s="4">
        <f>EOMONTH(B8,24)</f>
        <v>35246</v>
      </c>
      <c r="H8" s="5">
        <f t="shared" si="0"/>
        <v>27</v>
      </c>
      <c r="I8" s="5">
        <f t="shared" si="1"/>
        <v>27</v>
      </c>
      <c r="J8" s="15" t="str">
        <f t="shared" si="2"/>
        <v>Wednesday</v>
      </c>
    </row>
    <row r="9" spans="1:10">
      <c r="A9" s="9" t="s">
        <v>58</v>
      </c>
      <c r="B9" s="10">
        <v>41260</v>
      </c>
      <c r="C9" s="9" t="s">
        <v>51</v>
      </c>
      <c r="D9" s="9" t="s">
        <v>59</v>
      </c>
      <c r="E9" s="9">
        <v>20000</v>
      </c>
      <c r="F9" s="9" t="s">
        <v>60</v>
      </c>
      <c r="G9" s="4">
        <f>EOMONTH(B9,8)</f>
        <v>41517</v>
      </c>
      <c r="H9" s="5">
        <f t="shared" si="0"/>
        <v>51</v>
      </c>
      <c r="I9" s="5">
        <f t="shared" si="1"/>
        <v>35</v>
      </c>
      <c r="J9" s="15" t="str">
        <f t="shared" si="2"/>
        <v>Monday</v>
      </c>
    </row>
    <row r="10" spans="1:10">
      <c r="A10" s="9" t="s">
        <v>61</v>
      </c>
      <c r="B10" s="10">
        <v>42827</v>
      </c>
      <c r="C10" s="9" t="s">
        <v>51</v>
      </c>
      <c r="D10" s="9" t="s">
        <v>49</v>
      </c>
      <c r="E10" s="9">
        <v>25000</v>
      </c>
      <c r="F10" s="9" t="s">
        <v>46</v>
      </c>
      <c r="G10" s="4">
        <f>EOMONTH(B10,12)</f>
        <v>43220</v>
      </c>
      <c r="H10" s="5">
        <f t="shared" si="0"/>
        <v>14</v>
      </c>
      <c r="I10" s="5">
        <f t="shared" si="1"/>
        <v>18</v>
      </c>
      <c r="J10" s="15" t="str">
        <f t="shared" si="2"/>
        <v>Sunday</v>
      </c>
    </row>
    <row r="11" spans="1:10">
      <c r="A11" s="9" t="s">
        <v>62</v>
      </c>
      <c r="B11" s="10">
        <v>44814</v>
      </c>
      <c r="C11" s="9" t="s">
        <v>41</v>
      </c>
      <c r="D11" s="9" t="s">
        <v>63</v>
      </c>
      <c r="E11" s="9">
        <v>5000</v>
      </c>
      <c r="F11" s="9" t="s">
        <v>64</v>
      </c>
      <c r="G11" s="4">
        <f>EOMONTH(B11,3)</f>
        <v>44926</v>
      </c>
      <c r="H11" s="5">
        <f t="shared" si="0"/>
        <v>37</v>
      </c>
      <c r="I11" s="5">
        <f t="shared" si="1"/>
        <v>53</v>
      </c>
      <c r="J11" s="15" t="str">
        <f t="shared" si="2"/>
        <v>Saturday</v>
      </c>
    </row>
    <row r="12" spans="1:10">
      <c r="A12" s="9" t="s">
        <v>65</v>
      </c>
      <c r="B12" s="10">
        <v>44965</v>
      </c>
      <c r="C12" s="9" t="s">
        <v>57</v>
      </c>
      <c r="D12" s="9" t="s">
        <v>45</v>
      </c>
      <c r="E12" s="9">
        <v>22000</v>
      </c>
      <c r="F12" s="9" t="s">
        <v>46</v>
      </c>
      <c r="G12" s="4">
        <f>EOMONTH(B12,12)</f>
        <v>45351</v>
      </c>
      <c r="H12" s="5">
        <f t="shared" si="0"/>
        <v>6</v>
      </c>
      <c r="I12" s="5">
        <f t="shared" si="1"/>
        <v>9</v>
      </c>
      <c r="J12" s="15" t="str">
        <f t="shared" si="2"/>
        <v>Wednesday</v>
      </c>
    </row>
    <row r="13" spans="1:10">
      <c r="A13" s="9" t="s">
        <v>66</v>
      </c>
      <c r="B13" s="10">
        <v>42145</v>
      </c>
      <c r="C13" s="9" t="s">
        <v>51</v>
      </c>
      <c r="D13" s="9" t="s">
        <v>63</v>
      </c>
      <c r="E13" s="9">
        <v>30000</v>
      </c>
      <c r="F13" s="9" t="s">
        <v>50</v>
      </c>
      <c r="G13" s="4">
        <f>EOMONTH(B13,24)</f>
        <v>42886</v>
      </c>
      <c r="H13" s="5">
        <f t="shared" si="0"/>
        <v>21</v>
      </c>
      <c r="I13" s="5">
        <f t="shared" si="1"/>
        <v>22</v>
      </c>
      <c r="J13" s="15" t="str">
        <f t="shared" si="2"/>
        <v>Thursday</v>
      </c>
    </row>
    <row r="15" ht="18" spans="1:1">
      <c r="A15" s="7" t="s">
        <v>67</v>
      </c>
    </row>
    <row r="16" spans="1:1">
      <c r="A16" s="9"/>
    </row>
    <row r="17" spans="1:2">
      <c r="A17" s="11" t="s">
        <v>68</v>
      </c>
      <c r="B17" s="5">
        <f>COUNTIF(D:D,"fridge")</f>
        <v>3</v>
      </c>
    </row>
    <row r="18" spans="1:2">
      <c r="A18" s="12"/>
      <c r="B18" s="5">
        <f>SUMIF(D:D,"fridge",E:E)</f>
        <v>58000</v>
      </c>
    </row>
    <row r="19" spans="1:10">
      <c r="A19" s="9"/>
      <c r="B19" s="9"/>
      <c r="G19" s="9" t="s">
        <v>45</v>
      </c>
      <c r="H19" s="12" t="s">
        <v>69</v>
      </c>
      <c r="I19" s="12"/>
      <c r="J19" s="5">
        <f>_xlfn.XLOOKUP("Fridge",D2:D13,E2:E13)</f>
        <v>19000</v>
      </c>
    </row>
    <row r="20" spans="1:10">
      <c r="A20" s="11" t="s">
        <v>70</v>
      </c>
      <c r="B20" s="5">
        <f>COUNTIFS(C:C,"LG",D:D,"fridge")</f>
        <v>1</v>
      </c>
      <c r="G20" s="9"/>
      <c r="H20" s="13"/>
      <c r="I20" s="16"/>
      <c r="J20" s="9"/>
    </row>
    <row r="21" spans="1:10">
      <c r="A21" s="12"/>
      <c r="B21" s="5">
        <f>SUMIFS(E:E,C:C,"LG")</f>
        <v>92000</v>
      </c>
      <c r="G21" s="9" t="s">
        <v>58</v>
      </c>
      <c r="H21" s="12" t="s">
        <v>71</v>
      </c>
      <c r="I21" s="12"/>
      <c r="J21" s="5" t="str">
        <f>_xlfn.XLOOKUP("Lawanya",A2:A13,D2:D13)</f>
        <v>TV</v>
      </c>
    </row>
    <row r="22" spans="1:2">
      <c r="A22" s="9"/>
      <c r="B22" s="9"/>
    </row>
    <row r="23" spans="1:2">
      <c r="A23" s="11" t="s">
        <v>72</v>
      </c>
      <c r="B23" s="5">
        <f>_xlfn.MAXIFS(E:E,C:C,"Godrej",D:D,"Fridge")</f>
        <v>22000</v>
      </c>
    </row>
    <row r="24" spans="1:2">
      <c r="A24" s="11"/>
      <c r="B24" s="5">
        <f>_xlfn.MINIFS(E:E,C:C,"Godrej")</f>
        <v>22000</v>
      </c>
    </row>
    <row r="25" spans="6:10">
      <c r="F25" s="14"/>
      <c r="G25" s="14"/>
      <c r="H25" s="14"/>
      <c r="I25" s="14"/>
      <c r="J25" s="14"/>
    </row>
    <row r="26" ht="18" customHeight="1" spans="6:10">
      <c r="F26" s="14"/>
      <c r="G26" s="14"/>
      <c r="H26" s="14"/>
      <c r="I26" s="14"/>
      <c r="J26" s="14"/>
    </row>
    <row r="27" spans="6:10">
      <c r="F27" s="14"/>
      <c r="G27" s="14"/>
      <c r="H27" s="14"/>
      <c r="I27" s="14"/>
      <c r="J27" s="14"/>
    </row>
    <row r="28" ht="18" spans="6:13">
      <c r="F28" s="14"/>
      <c r="G28" s="14"/>
      <c r="H28" s="14"/>
      <c r="I28" s="14"/>
      <c r="J28" s="14"/>
      <c r="K28" s="6"/>
      <c r="L28" s="6"/>
      <c r="M28" s="6"/>
    </row>
    <row r="29" spans="6:10">
      <c r="F29" s="14"/>
      <c r="G29" s="14"/>
      <c r="H29" s="14"/>
      <c r="I29" s="14"/>
      <c r="J29" s="14"/>
    </row>
  </sheetData>
  <mergeCells count="7">
    <mergeCell ref="H19:I19"/>
    <mergeCell ref="H20:I20"/>
    <mergeCell ref="H21:I21"/>
    <mergeCell ref="A17:A18"/>
    <mergeCell ref="A20:A21"/>
    <mergeCell ref="A23:A24"/>
    <mergeCell ref="F25:J2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0"/>
  <sheetViews>
    <sheetView workbookViewId="0">
      <selection activeCell="A1" sqref="A$1:A$1048576"/>
    </sheetView>
  </sheetViews>
  <sheetFormatPr defaultColWidth="8.88888888888889" defaultRowHeight="14.4" outlineLevelCol="1"/>
  <cols>
    <col min="1" max="1" width="16.6666666666667"/>
    <col min="2" max="2" width="12.5555555555556"/>
  </cols>
  <sheetData>
    <row r="3" spans="1:2">
      <c r="A3" t="s">
        <v>29</v>
      </c>
      <c r="B3" t="s">
        <v>73</v>
      </c>
    </row>
    <row r="4" spans="1:2">
      <c r="A4" t="s">
        <v>74</v>
      </c>
      <c r="B4">
        <v>161000</v>
      </c>
    </row>
    <row r="5" spans="1:2">
      <c r="A5" t="s">
        <v>45</v>
      </c>
      <c r="B5">
        <v>124000</v>
      </c>
    </row>
    <row r="6" spans="1:2">
      <c r="A6" t="s">
        <v>75</v>
      </c>
      <c r="B6">
        <v>140000</v>
      </c>
    </row>
    <row r="7" spans="1:2">
      <c r="A7" t="s">
        <v>59</v>
      </c>
      <c r="B7">
        <v>95000</v>
      </c>
    </row>
    <row r="8" spans="1:2">
      <c r="A8" t="s">
        <v>76</v>
      </c>
      <c r="B8">
        <v>118100</v>
      </c>
    </row>
    <row r="9" spans="1:1">
      <c r="A9" t="s">
        <v>77</v>
      </c>
    </row>
    <row r="10" spans="1:2">
      <c r="A10" t="s">
        <v>78</v>
      </c>
      <c r="B10">
        <v>638100</v>
      </c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workbookViewId="0">
      <selection activeCell="G23" sqref="G23"/>
    </sheetView>
  </sheetViews>
  <sheetFormatPr defaultColWidth="8.88888888888889" defaultRowHeight="14.4"/>
  <cols>
    <col min="1" max="1" width="11.1111111111111"/>
    <col min="2" max="2" width="14.8888888888889" customWidth="1"/>
    <col min="3" max="3" width="17.6666666666667" customWidth="1"/>
    <col min="4" max="4" width="10.1111111111111" customWidth="1"/>
  </cols>
  <sheetData>
    <row r="1" s="1" customFormat="1" ht="21" spans="1:15">
      <c r="A1" s="2" t="s">
        <v>79</v>
      </c>
      <c r="B1" s="2" t="s">
        <v>26</v>
      </c>
      <c r="C1" s="2" t="s">
        <v>29</v>
      </c>
      <c r="D1" s="2" t="s">
        <v>30</v>
      </c>
      <c r="F1" s="3" t="s">
        <v>80</v>
      </c>
      <c r="G1" s="3"/>
      <c r="H1" s="3"/>
      <c r="I1" s="3"/>
      <c r="J1" s="3"/>
      <c r="K1" s="3"/>
      <c r="L1" s="3"/>
      <c r="M1" s="3"/>
      <c r="N1" s="3"/>
      <c r="O1" s="3"/>
    </row>
    <row r="2" spans="1:15">
      <c r="A2" s="4">
        <v>45192</v>
      </c>
      <c r="B2" s="5" t="s">
        <v>36</v>
      </c>
      <c r="C2" s="5" t="s">
        <v>59</v>
      </c>
      <c r="D2" s="5">
        <v>20000</v>
      </c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>
      <c r="A3" s="4">
        <v>45264</v>
      </c>
      <c r="B3" s="5" t="s">
        <v>81</v>
      </c>
      <c r="C3" s="5" t="s">
        <v>75</v>
      </c>
      <c r="D3" s="5">
        <v>25000</v>
      </c>
      <c r="F3" s="3"/>
      <c r="G3" s="3"/>
      <c r="H3" s="3"/>
      <c r="I3" s="3"/>
      <c r="J3" s="3"/>
      <c r="K3" s="3"/>
      <c r="L3" s="3"/>
      <c r="M3" s="3"/>
      <c r="N3" s="3"/>
      <c r="O3" s="3"/>
    </row>
    <row r="4" spans="1:4">
      <c r="A4" s="4">
        <v>45086</v>
      </c>
      <c r="B4" s="5" t="s">
        <v>82</v>
      </c>
      <c r="C4" s="5" t="s">
        <v>45</v>
      </c>
      <c r="D4" s="5">
        <v>27000</v>
      </c>
    </row>
    <row r="5" spans="1:4">
      <c r="A5" s="4">
        <v>45017</v>
      </c>
      <c r="B5" s="5" t="s">
        <v>83</v>
      </c>
      <c r="C5" s="5" t="s">
        <v>76</v>
      </c>
      <c r="D5" s="5">
        <v>30000</v>
      </c>
    </row>
    <row r="6" spans="1:4">
      <c r="A6" s="4">
        <v>44966</v>
      </c>
      <c r="B6" s="5" t="s">
        <v>84</v>
      </c>
      <c r="C6" s="5" t="s">
        <v>74</v>
      </c>
      <c r="D6" s="5">
        <v>35000</v>
      </c>
    </row>
    <row r="7" spans="1:4">
      <c r="A7" s="4">
        <v>45272</v>
      </c>
      <c r="B7" s="5" t="s">
        <v>85</v>
      </c>
      <c r="C7" s="5" t="s">
        <v>45</v>
      </c>
      <c r="D7" s="5">
        <v>17000</v>
      </c>
    </row>
    <row r="8" spans="1:4">
      <c r="A8" s="4">
        <v>45249</v>
      </c>
      <c r="B8" s="5" t="s">
        <v>86</v>
      </c>
      <c r="C8" s="5" t="s">
        <v>87</v>
      </c>
      <c r="D8" s="5">
        <v>32000</v>
      </c>
    </row>
    <row r="9" spans="1:4">
      <c r="A9" s="4">
        <v>45221</v>
      </c>
      <c r="B9" s="5" t="s">
        <v>88</v>
      </c>
      <c r="C9" s="5" t="s">
        <v>75</v>
      </c>
      <c r="D9" s="5">
        <v>15000</v>
      </c>
    </row>
    <row r="10" spans="1:4">
      <c r="A10" s="4">
        <v>45235</v>
      </c>
      <c r="B10" s="5" t="s">
        <v>21</v>
      </c>
      <c r="C10" s="5" t="s">
        <v>76</v>
      </c>
      <c r="D10" s="5">
        <v>67000</v>
      </c>
    </row>
    <row r="11" spans="1:4">
      <c r="A11" s="4">
        <v>45033</v>
      </c>
      <c r="B11" s="5" t="s">
        <v>89</v>
      </c>
      <c r="C11" s="5" t="s">
        <v>74</v>
      </c>
      <c r="D11" s="5">
        <v>49000</v>
      </c>
    </row>
    <row r="12" spans="1:4">
      <c r="A12" s="4">
        <v>44974</v>
      </c>
      <c r="B12" s="5" t="s">
        <v>90</v>
      </c>
      <c r="C12" s="5" t="s">
        <v>76</v>
      </c>
      <c r="D12" s="5">
        <v>21100</v>
      </c>
    </row>
    <row r="13" spans="1:4">
      <c r="A13" s="4">
        <v>45158</v>
      </c>
      <c r="B13" s="5" t="s">
        <v>91</v>
      </c>
      <c r="C13" s="5" t="s">
        <v>59</v>
      </c>
      <c r="D13" s="5">
        <v>43000</v>
      </c>
    </row>
    <row r="14" spans="1:4">
      <c r="A14" s="4">
        <v>45178</v>
      </c>
      <c r="B14" s="5" t="s">
        <v>92</v>
      </c>
      <c r="C14" s="5" t="s">
        <v>45</v>
      </c>
      <c r="D14" s="5">
        <v>80000</v>
      </c>
    </row>
    <row r="15" spans="1:4">
      <c r="A15" s="4">
        <v>45182</v>
      </c>
      <c r="B15" s="5" t="s">
        <v>93</v>
      </c>
      <c r="C15" s="5" t="s">
        <v>74</v>
      </c>
      <c r="D15" s="5">
        <v>77000</v>
      </c>
    </row>
    <row r="16" spans="1:4">
      <c r="A16" s="4">
        <v>45043</v>
      </c>
      <c r="B16" s="5" t="s">
        <v>94</v>
      </c>
      <c r="C16" s="5" t="s">
        <v>75</v>
      </c>
      <c r="D16" s="5">
        <v>100000</v>
      </c>
    </row>
  </sheetData>
  <mergeCells count="1">
    <mergeCell ref="F1:O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FT1</vt:lpstr>
      <vt:lpstr>FT2</vt:lpstr>
      <vt:lpstr>Sheet1</vt:lpstr>
      <vt:lpstr>FT3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Sathi</dc:creator>
  <cp:lastModifiedBy>Aukash Saravanan</cp:lastModifiedBy>
  <dcterms:created xsi:type="dcterms:W3CDTF">2024-04-26T13:01:00Z</dcterms:created>
  <dcterms:modified xsi:type="dcterms:W3CDTF">2026-03-10T06:17:40Z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56E82177DF9F416E88F1E4934CB6D843_13</vt:lpwstr>
  </property>
  <property fmtid="{D5CDD505-2E9C-101B-9397-08002B2CF9AE}" pid="3" name="KSOProductBuildVer">
    <vt:lpwstr>1033-12.2.0.23196</vt:lpwstr>
  </property>
</Properties>
</file>